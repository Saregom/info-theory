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FF67925C-B505-4D97-8BA5-B91F244F20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CrDYDzCFuSZ0o+iEvxJFx4Xs84T09WpZJyPKZCFwGI="/>
    </ext>
  </extLst>
</workbook>
</file>

<file path=xl/calcChain.xml><?xml version="1.0" encoding="utf-8"?>
<calcChain xmlns="http://schemas.openxmlformats.org/spreadsheetml/2006/main">
  <c r="W11" i="1" l="1"/>
  <c r="W39" i="1"/>
  <c r="X12" i="1"/>
  <c r="W12" i="1" s="1"/>
  <c r="AE6" i="1"/>
  <c r="AC5" i="1"/>
  <c r="AC6" i="1" s="1"/>
  <c r="W5" i="1"/>
  <c r="Y6" i="1"/>
  <c r="F58" i="1"/>
  <c r="F56" i="1"/>
  <c r="F57" i="1"/>
  <c r="F55" i="1"/>
  <c r="F54" i="1"/>
  <c r="F20" i="1"/>
  <c r="E20" i="1"/>
  <c r="D20" i="1"/>
  <c r="F19" i="1"/>
  <c r="F39" i="1" s="1"/>
  <c r="E19" i="1"/>
  <c r="E39" i="1" s="1"/>
  <c r="D19" i="1"/>
  <c r="D39" i="1" s="1"/>
  <c r="F18" i="1"/>
  <c r="F38" i="1" s="1"/>
  <c r="E18" i="1"/>
  <c r="E38" i="1" s="1"/>
  <c r="D18" i="1"/>
  <c r="D38" i="1" s="1"/>
  <c r="F17" i="1"/>
  <c r="F37" i="1" s="1"/>
  <c r="E17" i="1"/>
  <c r="E37" i="1" s="1"/>
  <c r="D17" i="1"/>
  <c r="D37" i="1" s="1"/>
  <c r="F16" i="1"/>
  <c r="F36" i="1" s="1"/>
  <c r="E16" i="1"/>
  <c r="E36" i="1" s="1"/>
  <c r="D16" i="1"/>
  <c r="D36" i="1" s="1"/>
  <c r="F15" i="1"/>
  <c r="F35" i="1" s="1"/>
  <c r="E15" i="1"/>
  <c r="E35" i="1" s="1"/>
  <c r="D15" i="1"/>
  <c r="D35" i="1" s="1"/>
  <c r="F14" i="1"/>
  <c r="F34" i="1" s="1"/>
  <c r="E14" i="1"/>
  <c r="E34" i="1" s="1"/>
  <c r="D14" i="1"/>
  <c r="D34" i="1" s="1"/>
  <c r="F13" i="1"/>
  <c r="F33" i="1" s="1"/>
  <c r="E13" i="1"/>
  <c r="E33" i="1" s="1"/>
  <c r="D13" i="1"/>
  <c r="D33" i="1" s="1"/>
  <c r="F12" i="1"/>
  <c r="F32" i="1" s="1"/>
  <c r="E12" i="1"/>
  <c r="E32" i="1" s="1"/>
  <c r="D12" i="1"/>
  <c r="D32" i="1" s="1"/>
  <c r="F11" i="1"/>
  <c r="F31" i="1" s="1"/>
  <c r="E11" i="1"/>
  <c r="E31" i="1" s="1"/>
  <c r="D11" i="1"/>
  <c r="D31" i="1" s="1"/>
  <c r="F10" i="1"/>
  <c r="F30" i="1" s="1"/>
  <c r="E10" i="1"/>
  <c r="E30" i="1" s="1"/>
  <c r="D10" i="1"/>
  <c r="D30" i="1" s="1"/>
  <c r="F9" i="1"/>
  <c r="F29" i="1" s="1"/>
  <c r="E9" i="1"/>
  <c r="E29" i="1" s="1"/>
  <c r="D9" i="1"/>
  <c r="D29" i="1" s="1"/>
  <c r="E8" i="1"/>
  <c r="E28" i="1" s="1"/>
  <c r="D8" i="1"/>
  <c r="D28" i="1" s="1"/>
  <c r="D7" i="1"/>
  <c r="D27" i="1" s="1"/>
  <c r="X13" i="1" l="1"/>
  <c r="W13" i="1" s="1"/>
  <c r="W6" i="1"/>
  <c r="F61" i="1"/>
  <c r="F67" i="1" s="1" a="1"/>
  <c r="F67" i="1" s="1"/>
  <c r="F60" i="1"/>
  <c r="F66" i="1" a="1"/>
  <c r="F66" i="1" s="1"/>
  <c r="F64" i="1"/>
  <c r="F62" i="1"/>
  <c r="F65" i="1" s="1" a="1"/>
  <c r="F65" i="1" s="1"/>
  <c r="D42" i="1"/>
  <c r="E42" i="1"/>
  <c r="F42" i="1"/>
  <c r="D41" i="1"/>
  <c r="E41" i="1"/>
  <c r="E43" i="1" s="1"/>
  <c r="E46" i="1" s="1" a="1"/>
  <c r="E46" i="1" s="1"/>
  <c r="F41" i="1"/>
  <c r="F43" i="1" s="1"/>
  <c r="F46" i="1" s="1" a="1"/>
  <c r="F46" i="1" s="1"/>
  <c r="X14" i="1" l="1"/>
  <c r="W14" i="1" s="1"/>
  <c r="D45" i="1"/>
  <c r="D48" i="1" a="1"/>
  <c r="D48" i="1" s="1"/>
  <c r="D43" i="1"/>
  <c r="D46" i="1" s="1" a="1"/>
  <c r="D46" i="1" s="1"/>
  <c r="F45" i="1"/>
  <c r="F47" i="1" a="1"/>
  <c r="F47" i="1" s="1"/>
  <c r="F48" i="1" a="1"/>
  <c r="F48" i="1" s="1"/>
  <c r="E45" i="1"/>
  <c r="E47" i="1" a="1"/>
  <c r="E47" i="1" s="1"/>
  <c r="E48" i="1" a="1"/>
  <c r="E48" i="1" s="1"/>
  <c r="D47" i="1" a="1"/>
  <c r="D47" i="1" s="1"/>
  <c r="X15" i="1" l="1"/>
  <c r="W15" i="1" s="1"/>
  <c r="X16" i="1" l="1"/>
  <c r="W16" i="1" l="1"/>
  <c r="X17" i="1"/>
  <c r="W17" i="1" l="1"/>
  <c r="X18" i="1"/>
  <c r="W18" i="1" l="1"/>
  <c r="X19" i="1"/>
  <c r="W19" i="1" l="1"/>
  <c r="X20" i="1"/>
  <c r="W20" i="1" l="1"/>
  <c r="X21" i="1"/>
  <c r="W21" i="1" l="1"/>
  <c r="X22" i="1"/>
  <c r="W22" i="1" l="1"/>
  <c r="X23" i="1"/>
  <c r="W23" i="1" l="1"/>
  <c r="X24" i="1"/>
  <c r="W24" i="1" l="1"/>
  <c r="X25" i="1"/>
  <c r="W25" i="1" l="1"/>
  <c r="X26" i="1"/>
  <c r="W26" i="1" l="1"/>
  <c r="X27" i="1"/>
  <c r="W27" i="1" l="1"/>
  <c r="X28" i="1"/>
  <c r="W28" i="1" l="1"/>
  <c r="X29" i="1"/>
  <c r="W29" i="1" l="1"/>
  <c r="X30" i="1"/>
  <c r="W30" i="1" l="1"/>
  <c r="X31" i="1"/>
  <c r="W31" i="1" l="1"/>
  <c r="X32" i="1"/>
  <c r="W32" i="1" l="1"/>
  <c r="X33" i="1"/>
  <c r="W33" i="1" s="1"/>
  <c r="X34" i="1" l="1"/>
  <c r="W34" i="1" s="1"/>
  <c r="W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<sst xmlns="http://schemas.openxmlformats.org/spreadsheetml/2006/main" count="55" uniqueCount="36">
  <si>
    <t>Pronosticos</t>
  </si>
  <si>
    <t>Año</t>
  </si>
  <si>
    <t>Demanda</t>
  </si>
  <si>
    <t>n=3</t>
  </si>
  <si>
    <t>n=4</t>
  </si>
  <si>
    <t>n=5</t>
  </si>
  <si>
    <t>A</t>
  </si>
  <si>
    <t>B</t>
  </si>
  <si>
    <t>VP</t>
  </si>
  <si>
    <t>EM</t>
  </si>
  <si>
    <t>Pagos</t>
  </si>
  <si>
    <t>EA</t>
  </si>
  <si>
    <t>Periodo</t>
  </si>
  <si>
    <t>Valor inicial</t>
  </si>
  <si>
    <t>Flujo</t>
  </si>
  <si>
    <t>Ingresos</t>
  </si>
  <si>
    <t>Egresos</t>
  </si>
  <si>
    <t xml:space="preserve">Error </t>
  </si>
  <si>
    <t>Valor Salvamento</t>
  </si>
  <si>
    <t>(agregado en el periodo 24)</t>
  </si>
  <si>
    <t>TIO</t>
  </si>
  <si>
    <t>VPN</t>
  </si>
  <si>
    <t>CFE (Suma acumulativa)</t>
  </si>
  <si>
    <t>n (Total de datos)</t>
  </si>
  <si>
    <t>E- (Promedio)</t>
  </si>
  <si>
    <t>MES (Cuadrado del error medio)</t>
  </si>
  <si>
    <t>Desviación estandar</t>
  </si>
  <si>
    <t>MAD (Desviacion media absoluta)</t>
  </si>
  <si>
    <t>MAPE (Error porcentual medio abs.)</t>
  </si>
  <si>
    <t>Tienda Departamental</t>
  </si>
  <si>
    <t>Pronostico demanda</t>
  </si>
  <si>
    <t>Mes</t>
  </si>
  <si>
    <t>Ventas</t>
  </si>
  <si>
    <t>Supuesto??</t>
  </si>
  <si>
    <t>Error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</si>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</sst>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-[$$-409]* #,##0.00_ ;_-[$$-409]* \-#,##0.00\ ;_-[$$-409]* &quot;-&quot;??_ ;_-@_ "/>
  </numFmts>
  <fonts count="8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rial"/>
    </font>
    <font>
      <b/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theme="0"/>
      <name val="Aptos Narrow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5" fontId="3" fillId="4" borderId="6" xfId="0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6" borderId="9" xfId="0" applyFill="1" applyBorder="1"/>
    <xf numFmtId="0" fontId="0" fillId="0" borderId="9" xfId="0" applyBorder="1"/>
    <xf numFmtId="165" fontId="3" fillId="7" borderId="9" xfId="0" applyNumberFormat="1" applyFont="1" applyFill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6" fillId="8" borderId="7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0" fillId="6" borderId="10" xfId="0" applyFill="1" applyBorder="1"/>
    <xf numFmtId="0" fontId="6" fillId="8" borderId="8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166" fontId="0" fillId="10" borderId="0" xfId="0" applyNumberFormat="1" applyFill="1"/>
    <xf numFmtId="0" fontId="5" fillId="0" borderId="11" xfId="0" applyFont="1" applyBorder="1"/>
    <xf numFmtId="0" fontId="0" fillId="0" borderId="11" xfId="0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wrapText="1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Error de pronosticos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6641791044776175E-2"/>
          <c:y val="0.17796610169491525"/>
          <c:w val="0.90425373134328346"/>
          <c:h val="0.72845036319612599"/>
        </c:manualLayout>
      </c:layout>
      <c:lineChart>
        <c:grouping val="standard"/>
        <c:varyColors val="1"/>
        <c:ser>
          <c:idx val="0"/>
          <c:order val="0"/>
          <c:tx>
            <c:v>n=3</c:v>
          </c:tx>
          <c:spPr>
            <a:ln w="19050" cmpd="sng">
              <a:solidFill>
                <a:srgbClr val="156082"/>
              </a:solidFill>
            </a:ln>
          </c:spPr>
          <c:marker>
            <c:symbol val="circle"/>
            <c:size val="5"/>
            <c:spPr>
              <a:solidFill>
                <a:srgbClr val="156082"/>
              </a:solidFill>
              <a:ln cmpd="sng">
                <a:solidFill>
                  <a:srgbClr val="156082"/>
                </a:solidFill>
              </a:ln>
            </c:spPr>
          </c:marker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75C8-446D-AB42-AE797FA4464F}"/>
              </c:ext>
            </c:extLst>
          </c:dPt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Sheet1!D24:D40</c:f>
              <c:numCache>
                <c:formatCode>General</c:formatCode>
                <c:ptCount val="17"/>
                <c:pt idx="3" formatCode="0.0">
                  <c:v>-0.40000000000000013</c:v>
                </c:pt>
                <c:pt idx="4">
                  <c:v>-9.9999999999999867E-2</c:v>
                </c:pt>
                <c:pt idx="5">
                  <c:v>0.39999999999999969</c:v>
                </c:pt>
                <c:pt idx="6">
                  <c:v>0.50000000000000022</c:v>
                </c:pt>
                <c:pt idx="7">
                  <c:v>6.666666666666643E-2</c:v>
                </c:pt>
                <c:pt idx="8">
                  <c:v>-0.26666666666666683</c:v>
                </c:pt>
                <c:pt idx="9">
                  <c:v>-0.30000000000000004</c:v>
                </c:pt>
                <c:pt idx="10">
                  <c:v>6.6666666666666652E-2</c:v>
                </c:pt>
                <c:pt idx="11">
                  <c:v>0.59999999999999987</c:v>
                </c:pt>
                <c:pt idx="12">
                  <c:v>0.10000000000000009</c:v>
                </c:pt>
                <c:pt idx="13">
                  <c:v>-0.23333333333333339</c:v>
                </c:pt>
                <c:pt idx="14">
                  <c:v>-0.6333333333333333</c:v>
                </c:pt>
                <c:pt idx="15">
                  <c:v>0.66666666666666674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8-446D-AB42-AE797FA4464F}"/>
            </c:ext>
          </c:extLst>
        </c:ser>
        <c:ser>
          <c:idx val="1"/>
          <c:order val="1"/>
          <c:tx>
            <c:v>n=4</c:v>
          </c:tx>
          <c:spPr>
            <a:ln w="19050" cmpd="sng">
              <a:solidFill>
                <a:srgbClr val="E9713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97132"/>
              </a:solidFill>
              <a:ln cmpd="sng">
                <a:solidFill>
                  <a:srgbClr val="E97132"/>
                </a:solidFill>
              </a:ln>
            </c:spPr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Sheet1!E24:E40</c:f>
              <c:numCache>
                <c:formatCode>General</c:formatCode>
                <c:ptCount val="17"/>
                <c:pt idx="4">
                  <c:v>-0.19999999999999996</c:v>
                </c:pt>
                <c:pt idx="5">
                  <c:v>0.32500000000000018</c:v>
                </c:pt>
                <c:pt idx="6">
                  <c:v>0.5</c:v>
                </c:pt>
                <c:pt idx="7">
                  <c:v>0.17500000000000004</c:v>
                </c:pt>
                <c:pt idx="8">
                  <c:v>-0.15000000000000013</c:v>
                </c:pt>
                <c:pt idx="9">
                  <c:v>-0.30000000000000004</c:v>
                </c:pt>
                <c:pt idx="10">
                  <c:v>-2.5000000000000133E-2</c:v>
                </c:pt>
                <c:pt idx="11">
                  <c:v>0.54999999999999982</c:v>
                </c:pt>
                <c:pt idx="12">
                  <c:v>0.14999999999999991</c:v>
                </c:pt>
                <c:pt idx="13">
                  <c:v>-0.125</c:v>
                </c:pt>
                <c:pt idx="14">
                  <c:v>-0.57500000000000018</c:v>
                </c:pt>
                <c:pt idx="15">
                  <c:v>0.52499999999999991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8-446D-AB42-AE797FA4464F}"/>
            </c:ext>
          </c:extLst>
        </c:ser>
        <c:ser>
          <c:idx val="2"/>
          <c:order val="2"/>
          <c:tx>
            <c:v>n=5</c:v>
          </c:tx>
          <c:spPr>
            <a:ln w="19050" cmpd="sng">
              <a:solidFill>
                <a:srgbClr val="196B24"/>
              </a:solidFill>
            </a:ln>
          </c:spPr>
          <c:marker>
            <c:symbol val="circle"/>
            <c:size val="5"/>
            <c:spPr>
              <a:solidFill>
                <a:srgbClr val="196B24"/>
              </a:solidFill>
              <a:ln cmpd="sng">
                <a:solidFill>
                  <a:srgbClr val="196B24"/>
                </a:solidFill>
              </a:ln>
            </c:spPr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Sheet1!F24:F40</c:f>
              <c:numCache>
                <c:formatCode>General</c:formatCode>
                <c:ptCount val="17"/>
                <c:pt idx="5" formatCode="0.00">
                  <c:v>0.23999999999999977</c:v>
                </c:pt>
                <c:pt idx="6" formatCode="0.00">
                  <c:v>0.46000000000000041</c:v>
                </c:pt>
                <c:pt idx="7" formatCode="0.00">
                  <c:v>0.19999999999999996</c:v>
                </c:pt>
                <c:pt idx="8" formatCode="0.00">
                  <c:v>-6.0000000000000053E-2</c:v>
                </c:pt>
                <c:pt idx="9" formatCode="0.00">
                  <c:v>-0.22000000000000042</c:v>
                </c:pt>
                <c:pt idx="10" formatCode="0.00">
                  <c:v>-4.0000000000000036E-2</c:v>
                </c:pt>
                <c:pt idx="11" formatCode="0.00">
                  <c:v>0.48</c:v>
                </c:pt>
                <c:pt idx="12" formatCode="0.00">
                  <c:v>0.1399999999999999</c:v>
                </c:pt>
                <c:pt idx="13" formatCode="0.00">
                  <c:v>-8.0000000000000071E-2</c:v>
                </c:pt>
                <c:pt idx="14" formatCode="0.00">
                  <c:v>-0.5</c:v>
                </c:pt>
                <c:pt idx="15" formatCode="0.00">
                  <c:v>0.53999999999999981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8-446D-AB42-AE797FA4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2131"/>
        <c:axId val="2141986764"/>
      </c:lineChart>
      <c:catAx>
        <c:axId val="7955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1986764"/>
        <c:crosses val="autoZero"/>
        <c:auto val="1"/>
        <c:lblAlgn val="ctr"/>
        <c:lblOffset val="100"/>
        <c:noMultiLvlLbl val="1"/>
      </c:catAx>
      <c:valAx>
        <c:axId val="2141986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5213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Pronosticos</a:t>
            </a:r>
          </a:p>
        </c:rich>
      </c:tx>
      <c:layout>
        <c:manualLayout>
          <c:xMode val="edge"/>
          <c:yMode val="edge"/>
          <c:x val="0.41614917538292789"/>
          <c:y val="1.4527845036319613E-2"/>
        </c:manualLayout>
      </c:layout>
      <c:overlay val="0"/>
    </c:title>
    <c:autoTitleDeleted val="0"/>
    <c:plotArea>
      <c:layout>
        <c:manualLayout>
          <c:xMode val="edge"/>
          <c:yMode val="edge"/>
          <c:x val="6.6641791044776175E-2"/>
          <c:y val="0.17796610169491525"/>
          <c:w val="0.90425373134328346"/>
          <c:h val="0.72845036319612599"/>
        </c:manualLayout>
      </c:layout>
      <c:lineChart>
        <c:grouping val="standard"/>
        <c:varyColors val="1"/>
        <c:ser>
          <c:idx val="3"/>
          <c:order val="0"/>
          <c:tx>
            <c:strRef>
              <c:f>Sheet1!$C$3</c:f>
              <c:strCache>
                <c:ptCount val="1"/>
                <c:pt idx="0">
                  <c:v>Demanda</c:v>
                </c:pt>
              </c:strCache>
            </c:strRef>
          </c:tx>
          <c:marker>
            <c:symbol val="circle"/>
            <c:size val="5"/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2.1</c:v>
                </c:pt>
                <c:pt idx="1">
                  <c:v>1.9</c:v>
                </c:pt>
                <c:pt idx="2">
                  <c:v>1.7</c:v>
                </c:pt>
                <c:pt idx="3">
                  <c:v>1.5</c:v>
                </c:pt>
                <c:pt idx="4">
                  <c:v>1.6</c:v>
                </c:pt>
                <c:pt idx="5">
                  <c:v>2</c:v>
                </c:pt>
                <c:pt idx="6">
                  <c:v>2.2000000000000002</c:v>
                </c:pt>
                <c:pt idx="7">
                  <c:v>2</c:v>
                </c:pt>
                <c:pt idx="8">
                  <c:v>1.8</c:v>
                </c:pt>
                <c:pt idx="9">
                  <c:v>1.7</c:v>
                </c:pt>
                <c:pt idx="10">
                  <c:v>1.9</c:v>
                </c:pt>
                <c:pt idx="11">
                  <c:v>2.4</c:v>
                </c:pt>
                <c:pt idx="12">
                  <c:v>2.1</c:v>
                </c:pt>
                <c:pt idx="13">
                  <c:v>1.9</c:v>
                </c:pt>
                <c:pt idx="14">
                  <c:v>1.5</c:v>
                </c:pt>
                <c:pt idx="1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C-4DE0-A76B-6AD3AEBA2018}"/>
            </c:ext>
          </c:extLst>
        </c:ser>
        <c:ser>
          <c:idx val="0"/>
          <c:order val="1"/>
          <c:tx>
            <c:strRef>
              <c:f>Sheet1!$D$3</c:f>
              <c:strCache>
                <c:ptCount val="1"/>
                <c:pt idx="0">
                  <c:v>n=3</c:v>
                </c:pt>
              </c:strCache>
            </c:strRef>
          </c:tx>
          <c:spPr>
            <a:ln w="19050" cmpd="sng">
              <a:solidFill>
                <a:srgbClr val="156082"/>
              </a:solidFill>
            </a:ln>
          </c:spPr>
          <c:marker>
            <c:symbol val="circle"/>
            <c:size val="5"/>
            <c:spPr>
              <a:solidFill>
                <a:srgbClr val="156082"/>
              </a:solidFill>
              <a:ln cmpd="sng">
                <a:solidFill>
                  <a:srgbClr val="156082"/>
                </a:solidFill>
              </a:ln>
            </c:spPr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Sheet1!$D$4:$D$20</c:f>
              <c:numCache>
                <c:formatCode>General</c:formatCode>
                <c:ptCount val="17"/>
                <c:pt idx="3">
                  <c:v>1.9000000000000001</c:v>
                </c:pt>
                <c:pt idx="4">
                  <c:v>1.7</c:v>
                </c:pt>
                <c:pt idx="5">
                  <c:v>1.6000000000000003</c:v>
                </c:pt>
                <c:pt idx="6">
                  <c:v>1.7</c:v>
                </c:pt>
                <c:pt idx="7">
                  <c:v>1.9333333333333336</c:v>
                </c:pt>
                <c:pt idx="8">
                  <c:v>2.0666666666666669</c:v>
                </c:pt>
                <c:pt idx="9">
                  <c:v>2</c:v>
                </c:pt>
                <c:pt idx="10">
                  <c:v>1.8333333333333333</c:v>
                </c:pt>
                <c:pt idx="11">
                  <c:v>1.8</c:v>
                </c:pt>
                <c:pt idx="12">
                  <c:v>2</c:v>
                </c:pt>
                <c:pt idx="13">
                  <c:v>2.1333333333333333</c:v>
                </c:pt>
                <c:pt idx="14">
                  <c:v>2.1333333333333333</c:v>
                </c:pt>
                <c:pt idx="15">
                  <c:v>1.8333333333333333</c:v>
                </c:pt>
                <c:pt idx="16">
                  <c:v>1.9666666666666668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D9-4790-BF3C-0F0733AA3707}"/>
            </c:ext>
          </c:extLst>
        </c:ser>
        <c:ser>
          <c:idx val="1"/>
          <c:order val="2"/>
          <c:tx>
            <c:strRef>
              <c:f>Sheet1!$E$3</c:f>
              <c:strCache>
                <c:ptCount val="1"/>
                <c:pt idx="0">
                  <c:v>n=4</c:v>
                </c:pt>
              </c:strCache>
            </c:strRef>
          </c:tx>
          <c:spPr>
            <a:ln w="19050" cmpd="sng">
              <a:solidFill>
                <a:srgbClr val="E9713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97132"/>
              </a:solidFill>
              <a:ln cmpd="sng">
                <a:solidFill>
                  <a:srgbClr val="E97132"/>
                </a:solidFill>
              </a:ln>
            </c:spPr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Sheet1!$E$4:$E$20</c:f>
              <c:numCache>
                <c:formatCode>General</c:formatCode>
                <c:ptCount val="17"/>
                <c:pt idx="4">
                  <c:v>1.8</c:v>
                </c:pt>
                <c:pt idx="5">
                  <c:v>1.6749999999999998</c:v>
                </c:pt>
                <c:pt idx="6">
                  <c:v>1.7000000000000002</c:v>
                </c:pt>
                <c:pt idx="7">
                  <c:v>1.825</c:v>
                </c:pt>
                <c:pt idx="8">
                  <c:v>1.9500000000000002</c:v>
                </c:pt>
                <c:pt idx="9">
                  <c:v>2</c:v>
                </c:pt>
                <c:pt idx="10">
                  <c:v>1.925</c:v>
                </c:pt>
                <c:pt idx="11">
                  <c:v>1.85</c:v>
                </c:pt>
                <c:pt idx="12">
                  <c:v>1.9500000000000002</c:v>
                </c:pt>
                <c:pt idx="13">
                  <c:v>2.0249999999999999</c:v>
                </c:pt>
                <c:pt idx="14">
                  <c:v>2.0750000000000002</c:v>
                </c:pt>
                <c:pt idx="15">
                  <c:v>1.9750000000000001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D9-4790-BF3C-0F0733AA3707}"/>
            </c:ext>
          </c:extLst>
        </c:ser>
        <c:ser>
          <c:idx val="2"/>
          <c:order val="3"/>
          <c:tx>
            <c:strRef>
              <c:f>Sheet1!$F$3</c:f>
              <c:strCache>
                <c:ptCount val="1"/>
                <c:pt idx="0">
                  <c:v>n=5</c:v>
                </c:pt>
              </c:strCache>
            </c:strRef>
          </c:tx>
          <c:spPr>
            <a:ln w="19050" cmpd="sng">
              <a:solidFill>
                <a:srgbClr val="196B24"/>
              </a:solidFill>
            </a:ln>
          </c:spPr>
          <c:marker>
            <c:symbol val="circle"/>
            <c:size val="5"/>
            <c:spPr>
              <a:solidFill>
                <a:srgbClr val="196B24"/>
              </a:solidFill>
              <a:ln cmpd="sng">
                <a:solidFill>
                  <a:srgbClr val="196B24"/>
                </a:solidFill>
              </a:ln>
            </c:spPr>
          </c:marker>
          <c:cat>
            <c:numRef>
              <c:f>Sheet1!$B$4:$B$20</c:f>
              <c:numCache>
                <c:formatCode>General</c:formatCode>
                <c:ptCount val="17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</c:numCache>
            </c:numRef>
          </c:cat>
          <c:val>
            <c:numRef>
              <c:f>Sheet1!$F$4:$F$20</c:f>
              <c:numCache>
                <c:formatCode>General</c:formatCode>
                <c:ptCount val="17"/>
                <c:pt idx="5" formatCode="0.00">
                  <c:v>1.7600000000000002</c:v>
                </c:pt>
                <c:pt idx="6" formatCode="0.00">
                  <c:v>1.7399999999999998</c:v>
                </c:pt>
                <c:pt idx="7" formatCode="0.00">
                  <c:v>1.8</c:v>
                </c:pt>
                <c:pt idx="8" formatCode="0.00">
                  <c:v>1.86</c:v>
                </c:pt>
                <c:pt idx="9" formatCode="0.00">
                  <c:v>1.9200000000000004</c:v>
                </c:pt>
                <c:pt idx="10" formatCode="0.00">
                  <c:v>1.94</c:v>
                </c:pt>
                <c:pt idx="11" formatCode="0.00">
                  <c:v>1.92</c:v>
                </c:pt>
                <c:pt idx="12" formatCode="0.00">
                  <c:v>1.9600000000000002</c:v>
                </c:pt>
                <c:pt idx="13" formatCode="0.00">
                  <c:v>1.98</c:v>
                </c:pt>
                <c:pt idx="14" formatCode="0.00">
                  <c:v>2</c:v>
                </c:pt>
                <c:pt idx="15" formatCode="0.00">
                  <c:v>1.9600000000000002</c:v>
                </c:pt>
                <c:pt idx="16" formatCode="0.00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D9-4790-BF3C-0F0733AA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2131"/>
        <c:axId val="2141986764"/>
      </c:lineChart>
      <c:catAx>
        <c:axId val="79552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1986764"/>
        <c:crosses val="autoZero"/>
        <c:auto val="1"/>
        <c:lblAlgn val="ctr"/>
        <c:lblOffset val="100"/>
        <c:noMultiLvlLbl val="1"/>
      </c:catAx>
      <c:valAx>
        <c:axId val="2141986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5213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Sheet1!$I$53</c:f>
              <c:strCache>
                <c:ptCount val="1"/>
                <c:pt idx="0">
                  <c:v>Ventas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590441819772526"/>
                  <c:y val="-6.82742782152230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Sheet1!$H$54:$H$65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Sheet1!$I$54:$I$65</c:f>
              <c:numCache>
                <c:formatCode>General</c:formatCode>
                <c:ptCount val="12"/>
                <c:pt idx="0">
                  <c:v>600</c:v>
                </c:pt>
                <c:pt idx="1">
                  <c:v>1550</c:v>
                </c:pt>
                <c:pt idx="2">
                  <c:v>1500</c:v>
                </c:pt>
                <c:pt idx="3">
                  <c:v>1500</c:v>
                </c:pt>
                <c:pt idx="4">
                  <c:v>2400</c:v>
                </c:pt>
                <c:pt idx="5">
                  <c:v>3100</c:v>
                </c:pt>
                <c:pt idx="6">
                  <c:v>2600</c:v>
                </c:pt>
                <c:pt idx="7">
                  <c:v>2900</c:v>
                </c:pt>
                <c:pt idx="8">
                  <c:v>3800</c:v>
                </c:pt>
                <c:pt idx="9">
                  <c:v>4500</c:v>
                </c:pt>
                <c:pt idx="10">
                  <c:v>4000</c:v>
                </c:pt>
                <c:pt idx="11">
                  <c:v>4900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E-444A-A7BA-E2A0ECC08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26823"/>
        <c:axId val="560228871"/>
      </c:scatterChart>
      <c:valAx>
        <c:axId val="56022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28871"/>
        <c:crosses val="autoZero"/>
        <c:crossBetween val="midCat"/>
      </c:valAx>
      <c:valAx>
        <c:axId val="56022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26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142875</xdr:colOff>
      <xdr:row>21</xdr:row>
      <xdr:rowOff>19050</xdr:rowOff>
    </xdr:from>
    <xdr:ext cx="5648325" cy="3362325"/>
    <xdr:graphicFrame macro="">
      <xdr:nvGraphicFramePr>
        <xdr:cNvPr id="816857877" name="Chart 2" title="Gráfico">
          <a:extLst>
            <a:ext uri="{FF2B5EF4-FFF2-40B4-BE49-F238E27FC236}">
              <a16:creationId xmlns:a16="http://schemas.microsoft.com/office/drawing/2014/main" id="{00000000-0008-0000-0000-00001543B030}"/>
            </a:ext>
            <a:ext uri="{147F2762-F138-4A5C-976F-8EAC2B608ADB}">
              <a16:predDERef xmlns:a16="http://schemas.microsoft.com/office/drawing/2014/main" pred="{00000000-0008-0000-0000-000015B42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6</xdr:col>
      <xdr:colOff>142875</xdr:colOff>
      <xdr:row>1</xdr:row>
      <xdr:rowOff>9525</xdr:rowOff>
    </xdr:from>
    <xdr:to>
      <xdr:col>10</xdr:col>
      <xdr:colOff>514350</xdr:colOff>
      <xdr:row>19</xdr:row>
      <xdr:rowOff>133350</xdr:rowOff>
    </xdr:to>
    <xdr:graphicFrame macro="">
      <xdr:nvGraphicFramePr>
        <xdr:cNvPr id="2" name="Gráfico 1" title="Gráfico">
          <a:extLst>
            <a:ext uri="{FF2B5EF4-FFF2-40B4-BE49-F238E27FC236}">
              <a16:creationId xmlns:a16="http://schemas.microsoft.com/office/drawing/2014/main" id="{5C13B83A-AB49-4B62-A097-C1506283B522}"/>
            </a:ext>
            <a:ext uri="{147F2762-F138-4A5C-976F-8EAC2B608ADB}">
              <a16:predDERef xmlns:a16="http://schemas.microsoft.com/office/drawing/2014/main" pred="{00000000-0008-0000-0000-00001543B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180975</xdr:colOff>
      <xdr:row>51</xdr:row>
      <xdr:rowOff>152400</xdr:rowOff>
    </xdr:from>
    <xdr:to>
      <xdr:col>16</xdr:col>
      <xdr:colOff>342900</xdr:colOff>
      <xdr:row>65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2BB9CE-D421-9587-7413-DA0C5D64E8F9}"/>
            </a:ext>
            <a:ext uri="{147F2762-F138-4A5C-976F-8EAC2B608ADB}">
              <a16:predDERef xmlns:a16="http://schemas.microsoft.com/office/drawing/2014/main" pred="{5C13B83A-AB49-4B62-A097-C1506283B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4DC5F-44C6-4AC8-A576-358B81092D14}" name="Tabla1" displayName="Tabla1" ref="B3:F20" totalsRowShown="0" headerRowDxfId="11" dataDxfId="10">
  <autoFilter ref="B3:F20" xr:uid="{37D4DC5F-44C6-4AC8-A576-358B81092D14}"/>
  <tableColumns count="5">
    <tableColumn id="1" xr3:uid="{6B1D6A36-DBDA-4E41-B35C-283EA908C37C}" name="Año" dataDxfId="9"/>
    <tableColumn id="2" xr3:uid="{C5FDFE09-C7BD-4851-BCAD-CD3FCFACC953}" name="Demanda" dataDxfId="8"/>
    <tableColumn id="3" xr3:uid="{DE04D7C5-8F96-4E9A-A476-27AF79D790A0}" name="n=3" dataDxfId="7"/>
    <tableColumn id="4" xr3:uid="{53285768-B2DF-485E-88E2-4F002A6060B3}" name="n=4" dataDxfId="6"/>
    <tableColumn id="5" xr3:uid="{293C7CBC-5333-4C0E-8B94-138CB076D7A7}" name="n=5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BD317B-25BF-4A52-B483-20F69E8A87BA}" name="Tabla3" displayName="Tabla3" ref="D23:F40" totalsRowShown="0" dataDxfId="4">
  <autoFilter ref="D23:F40" xr:uid="{1BBD317B-25BF-4A52-B483-20F69E8A87BA}"/>
  <tableColumns count="3">
    <tableColumn id="1" xr3:uid="{F498C8C6-9EE5-43D3-8DE1-9E8675ABBDAD}" name="n=3" dataDxfId="3"/>
    <tableColumn id="2" xr3:uid="{D865CFB2-AB1E-48C4-B1FC-D97E62CD6CF7}" name="n=4" dataDxfId="2"/>
    <tableColumn id="3" xr3:uid="{35DC3DC9-F15A-4B5E-AE75-70B07A528256}" name="n=5" dataDxfId="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A4E5A-BAE2-4117-8C43-323D848C31F2}" name="Tabla2" displayName="Tabla2" ref="H53:I65" totalsRowShown="0" headerRowDxfId="0">
  <autoFilter ref="H53:I65" xr:uid="{406A4E5A-BAE2-4117-8C43-323D848C31F2}"/>
  <tableColumns count="2">
    <tableColumn id="1" xr3:uid="{949E3EF8-649F-499D-A322-D8E8E9655D3D}" name="Trimestre"/>
    <tableColumn id="2" xr3:uid="{ACCE7A8B-D433-497D-8D79-A5EE89144AF2}" name="Venta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1001"/>
  <sheetViews>
    <sheetView tabSelected="1" topLeftCell="G1" workbookViewId="0">
      <selection activeCell="AC6" sqref="AC6"/>
    </sheetView>
  </sheetViews>
  <sheetFormatPr defaultColWidth="12.5703125" defaultRowHeight="15" customHeight="1"/>
  <cols>
    <col min="1" max="1" width="8.5703125" customWidth="1"/>
    <col min="2" max="2" width="16.7109375" customWidth="1"/>
    <col min="3" max="3" width="15.85546875" customWidth="1"/>
    <col min="4" max="4" width="19.42578125" customWidth="1"/>
    <col min="5" max="5" width="16.5703125" customWidth="1"/>
    <col min="6" max="6" width="15" customWidth="1"/>
    <col min="7" max="7" width="30.85546875" customWidth="1"/>
    <col min="8" max="8" width="16.5703125" customWidth="1"/>
    <col min="9" max="9" width="16.7109375" customWidth="1"/>
    <col min="10" max="10" width="14.7109375" customWidth="1"/>
    <col min="11" max="20" width="8.5703125" customWidth="1"/>
    <col min="21" max="21" width="9.28515625" customWidth="1"/>
    <col min="22" max="22" width="15.85546875" customWidth="1"/>
    <col min="23" max="23" width="16.28515625" customWidth="1"/>
    <col min="24" max="24" width="17.140625" customWidth="1"/>
    <col min="25" max="25" width="16.140625" customWidth="1"/>
    <col min="26" max="27" width="8.5703125" customWidth="1"/>
    <col min="29" max="29" width="15" customWidth="1"/>
  </cols>
  <sheetData>
    <row r="2" spans="2:32">
      <c r="B2" s="34" t="s">
        <v>0</v>
      </c>
      <c r="C2" s="34"/>
      <c r="D2" s="34"/>
      <c r="E2" s="34"/>
      <c r="F2" s="35"/>
      <c r="W2" s="27"/>
    </row>
    <row r="3" spans="2:32">
      <c r="B3" s="15" t="s">
        <v>1</v>
      </c>
      <c r="C3" s="16" t="s">
        <v>2</v>
      </c>
      <c r="D3" s="16" t="s">
        <v>3</v>
      </c>
      <c r="E3" s="16" t="s">
        <v>4</v>
      </c>
      <c r="F3" s="15" t="s">
        <v>5</v>
      </c>
      <c r="W3" s="27" t="s">
        <v>6</v>
      </c>
      <c r="Y3" s="27"/>
      <c r="AC3" t="s">
        <v>7</v>
      </c>
    </row>
    <row r="4" spans="2:32">
      <c r="B4" s="4">
        <v>1974</v>
      </c>
      <c r="C4" s="8">
        <v>2.1</v>
      </c>
      <c r="D4" s="9"/>
      <c r="E4" s="8"/>
      <c r="F4" s="9"/>
      <c r="W4" s="27"/>
    </row>
    <row r="5" spans="2:32">
      <c r="B5" s="4">
        <v>1975</v>
      </c>
      <c r="C5" s="8">
        <v>1.9</v>
      </c>
      <c r="D5" s="9"/>
      <c r="E5" s="8"/>
      <c r="F5" s="9"/>
      <c r="V5" t="s">
        <v>8</v>
      </c>
      <c r="W5" s="27">
        <f>PV(Y5,60,5000,,)</f>
        <v>-154543.28242528756</v>
      </c>
      <c r="Y5">
        <v>2.5000000000000001E-2</v>
      </c>
      <c r="Z5" t="s">
        <v>9</v>
      </c>
      <c r="AB5" t="s">
        <v>8</v>
      </c>
      <c r="AC5" s="27">
        <f>PV(AE5,60,5000,,)</f>
        <v>-154543.28242528756</v>
      </c>
      <c r="AE5">
        <v>2.5000000000000001E-2</v>
      </c>
      <c r="AF5" t="s">
        <v>9</v>
      </c>
    </row>
    <row r="6" spans="2:32">
      <c r="B6" s="4">
        <v>1976</v>
      </c>
      <c r="C6" s="8">
        <v>1.7</v>
      </c>
      <c r="D6" s="9"/>
      <c r="E6" s="8"/>
      <c r="F6" s="9"/>
      <c r="V6" t="s">
        <v>10</v>
      </c>
      <c r="W6" s="27">
        <f>PMT(Y6,5,W5,,)</f>
        <v>68977.764849259518</v>
      </c>
      <c r="Y6">
        <f>(1+0.025)^12-1</f>
        <v>0.34488882424629752</v>
      </c>
      <c r="Z6" t="s">
        <v>11</v>
      </c>
      <c r="AB6" t="s">
        <v>10</v>
      </c>
      <c r="AC6" s="27">
        <f>PMT(AE6,5,AC5,,)</f>
        <v>68977.764849259518</v>
      </c>
      <c r="AE6">
        <f>(1+0.025)^12-1</f>
        <v>0.34488882424629752</v>
      </c>
      <c r="AF6" t="s">
        <v>11</v>
      </c>
    </row>
    <row r="7" spans="2:32">
      <c r="B7" s="4">
        <v>1977</v>
      </c>
      <c r="C7" s="8">
        <v>1.5</v>
      </c>
      <c r="D7" s="8">
        <f t="shared" ref="D7:D20" si="0">AVERAGE(C4:C6)</f>
        <v>1.9000000000000001</v>
      </c>
      <c r="E7" s="8"/>
      <c r="F7" s="9"/>
      <c r="W7" s="27"/>
    </row>
    <row r="8" spans="2:32">
      <c r="B8" s="4">
        <v>1978</v>
      </c>
      <c r="C8" s="8">
        <v>1.6</v>
      </c>
      <c r="D8" s="8">
        <f t="shared" si="0"/>
        <v>1.7</v>
      </c>
      <c r="E8" s="8">
        <f t="shared" ref="E8:E20" si="1">AVERAGE(C4:C7)</f>
        <v>1.8</v>
      </c>
      <c r="F8" s="9"/>
    </row>
    <row r="9" spans="2:32">
      <c r="B9" s="4">
        <v>1979</v>
      </c>
      <c r="C9" s="8">
        <v>2</v>
      </c>
      <c r="D9" s="8">
        <f t="shared" si="0"/>
        <v>1.6000000000000003</v>
      </c>
      <c r="E9" s="8">
        <f t="shared" si="1"/>
        <v>1.6749999999999998</v>
      </c>
      <c r="F9" s="10">
        <f t="shared" ref="F9:F20" si="2">AVERAGE(C4:C8)</f>
        <v>1.7600000000000002</v>
      </c>
      <c r="U9" s="30" t="s">
        <v>12</v>
      </c>
      <c r="V9" s="30" t="s">
        <v>13</v>
      </c>
      <c r="W9" s="30" t="s">
        <v>14</v>
      </c>
      <c r="X9" s="30" t="s">
        <v>15</v>
      </c>
      <c r="Y9" s="30" t="s">
        <v>16</v>
      </c>
    </row>
    <row r="10" spans="2:32">
      <c r="B10" s="4">
        <v>1980</v>
      </c>
      <c r="C10" s="8">
        <v>2.2000000000000002</v>
      </c>
      <c r="D10" s="8">
        <f t="shared" si="0"/>
        <v>1.7</v>
      </c>
      <c r="E10" s="8">
        <f t="shared" si="1"/>
        <v>1.7000000000000002</v>
      </c>
      <c r="F10" s="10">
        <f t="shared" si="2"/>
        <v>1.7399999999999998</v>
      </c>
      <c r="U10" s="31">
        <v>0</v>
      </c>
      <c r="V10" s="31">
        <v>-3000000</v>
      </c>
      <c r="W10" s="31"/>
      <c r="X10" s="31"/>
      <c r="Y10" s="31"/>
    </row>
    <row r="11" spans="2:32">
      <c r="B11" s="4">
        <v>1981</v>
      </c>
      <c r="C11" s="8">
        <v>2</v>
      </c>
      <c r="D11" s="11">
        <f t="shared" si="0"/>
        <v>1.9333333333333336</v>
      </c>
      <c r="E11" s="8">
        <f t="shared" si="1"/>
        <v>1.825</v>
      </c>
      <c r="F11" s="10">
        <f t="shared" si="2"/>
        <v>1.8</v>
      </c>
      <c r="U11" s="31">
        <v>1</v>
      </c>
      <c r="V11" s="31"/>
      <c r="W11" s="31">
        <f>X11+Y11</f>
        <v>150000</v>
      </c>
      <c r="X11" s="31">
        <v>245000</v>
      </c>
      <c r="Y11" s="31">
        <v>-95000</v>
      </c>
    </row>
    <row r="12" spans="2:32">
      <c r="B12" s="4">
        <v>1982</v>
      </c>
      <c r="C12" s="8">
        <v>1.8</v>
      </c>
      <c r="D12" s="11">
        <f t="shared" si="0"/>
        <v>2.0666666666666669</v>
      </c>
      <c r="E12" s="8">
        <f t="shared" si="1"/>
        <v>1.9500000000000002</v>
      </c>
      <c r="F12" s="10">
        <f t="shared" si="2"/>
        <v>1.86</v>
      </c>
      <c r="U12" s="31">
        <v>2</v>
      </c>
      <c r="V12" s="31"/>
      <c r="W12" s="31">
        <f>X12+Y12</f>
        <v>154800</v>
      </c>
      <c r="X12" s="31">
        <f>X11+X11*4%</f>
        <v>254800</v>
      </c>
      <c r="Y12" s="31">
        <v>-100000</v>
      </c>
    </row>
    <row r="13" spans="2:32">
      <c r="B13" s="4">
        <v>1983</v>
      </c>
      <c r="C13" s="8">
        <v>1.7</v>
      </c>
      <c r="D13" s="11">
        <f t="shared" si="0"/>
        <v>2</v>
      </c>
      <c r="E13" s="8">
        <f t="shared" si="1"/>
        <v>2</v>
      </c>
      <c r="F13" s="10">
        <f t="shared" si="2"/>
        <v>1.9200000000000004</v>
      </c>
      <c r="U13" s="31">
        <v>3</v>
      </c>
      <c r="V13" s="31"/>
      <c r="W13" s="31">
        <f>X13+Y13</f>
        <v>159992</v>
      </c>
      <c r="X13" s="31">
        <f>X12+X12*4%</f>
        <v>264992</v>
      </c>
      <c r="Y13" s="31">
        <v>-105000</v>
      </c>
    </row>
    <row r="14" spans="2:32">
      <c r="B14" s="4">
        <v>1984</v>
      </c>
      <c r="C14" s="8">
        <v>1.9</v>
      </c>
      <c r="D14" s="11">
        <f t="shared" si="0"/>
        <v>1.8333333333333333</v>
      </c>
      <c r="E14" s="8">
        <f t="shared" si="1"/>
        <v>1.925</v>
      </c>
      <c r="F14" s="10">
        <f t="shared" si="2"/>
        <v>1.94</v>
      </c>
      <c r="U14" s="31">
        <v>4</v>
      </c>
      <c r="V14" s="31"/>
      <c r="W14" s="31">
        <f>X14+Y14</f>
        <v>165591.67999999999</v>
      </c>
      <c r="X14" s="31">
        <f t="shared" ref="X14:X34" si="3">X13+X13*4%</f>
        <v>275591.67999999999</v>
      </c>
      <c r="Y14" s="31">
        <v>-110000</v>
      </c>
    </row>
    <row r="15" spans="2:32">
      <c r="B15" s="4">
        <v>1985</v>
      </c>
      <c r="C15" s="8">
        <v>2.4</v>
      </c>
      <c r="D15" s="11">
        <f t="shared" si="0"/>
        <v>1.8</v>
      </c>
      <c r="E15" s="8">
        <f t="shared" si="1"/>
        <v>1.85</v>
      </c>
      <c r="F15" s="10">
        <f t="shared" si="2"/>
        <v>1.92</v>
      </c>
      <c r="U15" s="31">
        <v>5</v>
      </c>
      <c r="V15" s="31"/>
      <c r="W15" s="31">
        <f>X15+Y15</f>
        <v>171615.34720000002</v>
      </c>
      <c r="X15" s="31">
        <f t="shared" si="3"/>
        <v>286615.34720000002</v>
      </c>
      <c r="Y15" s="31">
        <v>-115000</v>
      </c>
    </row>
    <row r="16" spans="2:32">
      <c r="B16" s="4">
        <v>1986</v>
      </c>
      <c r="C16" s="8">
        <v>2.1</v>
      </c>
      <c r="D16" s="11">
        <f t="shared" si="0"/>
        <v>2</v>
      </c>
      <c r="E16" s="8">
        <f t="shared" si="1"/>
        <v>1.9500000000000002</v>
      </c>
      <c r="F16" s="10">
        <f t="shared" si="2"/>
        <v>1.9600000000000002</v>
      </c>
      <c r="U16" s="31">
        <v>6</v>
      </c>
      <c r="V16" s="31"/>
      <c r="W16" s="31">
        <f>X16+Y16</f>
        <v>178079.96108800004</v>
      </c>
      <c r="X16" s="31">
        <f t="shared" si="3"/>
        <v>298079.96108800004</v>
      </c>
      <c r="Y16" s="31">
        <v>-120000</v>
      </c>
    </row>
    <row r="17" spans="2:25">
      <c r="B17" s="4">
        <v>1987</v>
      </c>
      <c r="C17" s="8">
        <v>1.9</v>
      </c>
      <c r="D17" s="11">
        <f t="shared" si="0"/>
        <v>2.1333333333333333</v>
      </c>
      <c r="E17" s="8">
        <f t="shared" si="1"/>
        <v>2.0249999999999999</v>
      </c>
      <c r="F17" s="10">
        <f t="shared" si="2"/>
        <v>1.98</v>
      </c>
      <c r="U17" s="31">
        <v>7</v>
      </c>
      <c r="V17" s="31"/>
      <c r="W17" s="31">
        <f>X17+Y17</f>
        <v>185003.15953152004</v>
      </c>
      <c r="X17" s="31">
        <f t="shared" si="3"/>
        <v>310003.15953152004</v>
      </c>
      <c r="Y17" s="31">
        <v>-125000</v>
      </c>
    </row>
    <row r="18" spans="2:25">
      <c r="B18" s="4">
        <v>1988</v>
      </c>
      <c r="C18" s="8">
        <v>1.5</v>
      </c>
      <c r="D18" s="11">
        <f t="shared" si="0"/>
        <v>2.1333333333333333</v>
      </c>
      <c r="E18" s="8">
        <f t="shared" si="1"/>
        <v>2.0750000000000002</v>
      </c>
      <c r="F18" s="10">
        <f t="shared" si="2"/>
        <v>2</v>
      </c>
      <c r="U18" s="31">
        <v>8</v>
      </c>
      <c r="V18" s="31"/>
      <c r="W18" s="31">
        <f>X18+Y18</f>
        <v>192403.28591278085</v>
      </c>
      <c r="X18" s="31">
        <f t="shared" si="3"/>
        <v>322403.28591278085</v>
      </c>
      <c r="Y18" s="31">
        <v>-130000</v>
      </c>
    </row>
    <row r="19" spans="2:25">
      <c r="B19" s="4">
        <v>1989</v>
      </c>
      <c r="C19" s="8">
        <v>2.5</v>
      </c>
      <c r="D19" s="11">
        <f t="shared" si="0"/>
        <v>1.8333333333333333</v>
      </c>
      <c r="E19" s="8">
        <f t="shared" si="1"/>
        <v>1.9750000000000001</v>
      </c>
      <c r="F19" s="10">
        <f t="shared" si="2"/>
        <v>1.9600000000000002</v>
      </c>
      <c r="U19" s="31">
        <v>9</v>
      </c>
      <c r="V19" s="31"/>
      <c r="W19" s="31">
        <f>X19+Y19</f>
        <v>200299.41734929208</v>
      </c>
      <c r="X19" s="31">
        <f t="shared" si="3"/>
        <v>335299.41734929208</v>
      </c>
      <c r="Y19" s="31">
        <v>-135000</v>
      </c>
    </row>
    <row r="20" spans="2:25">
      <c r="B20" s="4">
        <v>1990</v>
      </c>
      <c r="C20" s="9"/>
      <c r="D20" s="11">
        <f t="shared" si="0"/>
        <v>1.9666666666666668</v>
      </c>
      <c r="E20" s="8">
        <f t="shared" si="1"/>
        <v>2</v>
      </c>
      <c r="F20" s="10">
        <f t="shared" si="2"/>
        <v>2.08</v>
      </c>
      <c r="U20" s="31">
        <v>10</v>
      </c>
      <c r="V20" s="31"/>
      <c r="W20" s="31">
        <f>X20+Y20</f>
        <v>208711.39404326375</v>
      </c>
      <c r="X20" s="31">
        <f t="shared" si="3"/>
        <v>348711.39404326375</v>
      </c>
      <c r="Y20" s="31">
        <v>-140000</v>
      </c>
    </row>
    <row r="21" spans="2:25">
      <c r="C21" s="1"/>
      <c r="U21" s="31">
        <v>11</v>
      </c>
      <c r="V21" s="31"/>
      <c r="W21" s="31">
        <f>X21+Y21</f>
        <v>217659.8498049943</v>
      </c>
      <c r="X21" s="31">
        <f t="shared" si="3"/>
        <v>362659.8498049943</v>
      </c>
      <c r="Y21" s="31">
        <v>-145000</v>
      </c>
    </row>
    <row r="22" spans="2:25" ht="15.75" customHeight="1">
      <c r="D22" s="32" t="s">
        <v>17</v>
      </c>
      <c r="E22" s="33"/>
      <c r="F22" s="33"/>
      <c r="U22" s="31">
        <v>12</v>
      </c>
      <c r="V22" s="31"/>
      <c r="W22" s="31">
        <f>X22+Y22</f>
        <v>227166.2437971941</v>
      </c>
      <c r="X22" s="31">
        <f t="shared" si="3"/>
        <v>377166.2437971941</v>
      </c>
      <c r="Y22" s="31">
        <v>-150000</v>
      </c>
    </row>
    <row r="23" spans="2:25" ht="15.75" customHeight="1">
      <c r="C23" s="1"/>
      <c r="D23" s="7" t="s">
        <v>3</v>
      </c>
      <c r="E23" s="6" t="s">
        <v>4</v>
      </c>
      <c r="F23" s="6" t="s">
        <v>5</v>
      </c>
      <c r="U23" s="31">
        <v>13</v>
      </c>
      <c r="V23" s="31"/>
      <c r="W23" s="31">
        <f>X23+Y23</f>
        <v>237252.89354908187</v>
      </c>
      <c r="X23" s="31">
        <f t="shared" si="3"/>
        <v>392252.89354908187</v>
      </c>
      <c r="Y23" s="31">
        <v>-155000</v>
      </c>
    </row>
    <row r="24" spans="2:25" ht="15.75" customHeight="1">
      <c r="C24" s="1"/>
      <c r="D24" s="8"/>
      <c r="E24" s="9"/>
      <c r="F24" s="9"/>
      <c r="U24" s="31">
        <v>14</v>
      </c>
      <c r="V24" s="31"/>
      <c r="W24" s="31">
        <f>X24+Y24</f>
        <v>247943.00929104513</v>
      </c>
      <c r="X24" s="31">
        <f t="shared" si="3"/>
        <v>407943.00929104513</v>
      </c>
      <c r="Y24" s="31">
        <v>-160000</v>
      </c>
    </row>
    <row r="25" spans="2:25" ht="15.75" customHeight="1">
      <c r="C25" s="1"/>
      <c r="D25" s="8"/>
      <c r="E25" s="9"/>
      <c r="F25" s="9"/>
      <c r="U25" s="31">
        <v>15</v>
      </c>
      <c r="V25" s="31"/>
      <c r="W25" s="31">
        <f>X25+Y25</f>
        <v>259260.72966268694</v>
      </c>
      <c r="X25" s="31">
        <f t="shared" si="3"/>
        <v>424260.72966268694</v>
      </c>
      <c r="Y25" s="31">
        <v>-165000</v>
      </c>
    </row>
    <row r="26" spans="2:25" ht="15.75" customHeight="1">
      <c r="C26" s="1"/>
      <c r="D26" s="8"/>
      <c r="E26" s="9"/>
      <c r="F26" s="9"/>
      <c r="U26" s="31">
        <v>16</v>
      </c>
      <c r="V26" s="31"/>
      <c r="W26" s="31">
        <f>X26+Y26</f>
        <v>271231.15884919441</v>
      </c>
      <c r="X26" s="31">
        <f t="shared" si="3"/>
        <v>441231.15884919441</v>
      </c>
      <c r="Y26" s="31">
        <v>-170000</v>
      </c>
    </row>
    <row r="27" spans="2:25" ht="15.75" customHeight="1">
      <c r="C27" s="1"/>
      <c r="D27" s="12">
        <f>C7-D7</f>
        <v>-0.40000000000000013</v>
      </c>
      <c r="E27" s="8"/>
      <c r="F27" s="8"/>
      <c r="U27" s="31">
        <v>17</v>
      </c>
      <c r="V27" s="31"/>
      <c r="W27" s="31">
        <f>X27+Y27</f>
        <v>283880.40520316217</v>
      </c>
      <c r="X27" s="31">
        <f t="shared" si="3"/>
        <v>458880.40520316217</v>
      </c>
      <c r="Y27" s="31">
        <v>-175000</v>
      </c>
    </row>
    <row r="28" spans="2:25" ht="15.75" customHeight="1">
      <c r="C28" s="1"/>
      <c r="D28" s="8">
        <f>C8-D8</f>
        <v>-9.9999999999999867E-2</v>
      </c>
      <c r="E28" s="8">
        <f>C8-E8</f>
        <v>-0.19999999999999996</v>
      </c>
      <c r="F28" s="8"/>
      <c r="U28" s="31">
        <v>18</v>
      </c>
      <c r="V28" s="31"/>
      <c r="W28" s="31">
        <f>X28+Y28</f>
        <v>297235.62141128868</v>
      </c>
      <c r="X28" s="31">
        <f t="shared" si="3"/>
        <v>477235.62141128868</v>
      </c>
      <c r="Y28" s="31">
        <v>-180000</v>
      </c>
    </row>
    <row r="29" spans="2:25" ht="15.75" customHeight="1">
      <c r="C29" s="1"/>
      <c r="D29" s="8">
        <f>C9-D9</f>
        <v>0.39999999999999969</v>
      </c>
      <c r="E29" s="8">
        <f>C9-E9</f>
        <v>0.32500000000000018</v>
      </c>
      <c r="F29" s="10">
        <f>C9-F9</f>
        <v>0.23999999999999977</v>
      </c>
      <c r="U29" s="31">
        <v>19</v>
      </c>
      <c r="V29" s="31"/>
      <c r="W29" s="31">
        <f>X29+Y29</f>
        <v>311325.04626774025</v>
      </c>
      <c r="X29" s="31">
        <f t="shared" si="3"/>
        <v>496325.04626774025</v>
      </c>
      <c r="Y29" s="31">
        <v>-185000</v>
      </c>
    </row>
    <row r="30" spans="2:25" ht="15.75" customHeight="1">
      <c r="C30" s="1"/>
      <c r="D30" s="8">
        <f>C10-D10</f>
        <v>0.50000000000000022</v>
      </c>
      <c r="E30" s="8">
        <f>C10-E10</f>
        <v>0.5</v>
      </c>
      <c r="F30" s="10">
        <f>C10-F10</f>
        <v>0.46000000000000041</v>
      </c>
      <c r="U30" s="31">
        <v>20</v>
      </c>
      <c r="V30" s="31"/>
      <c r="W30" s="31">
        <f>X30+Y30</f>
        <v>326178.04811844986</v>
      </c>
      <c r="X30" s="31">
        <f t="shared" si="3"/>
        <v>516178.04811844986</v>
      </c>
      <c r="Y30" s="31">
        <v>-190000</v>
      </c>
    </row>
    <row r="31" spans="2:25" ht="15.75" customHeight="1">
      <c r="C31" s="2"/>
      <c r="D31" s="8">
        <f>C11-D11</f>
        <v>6.666666666666643E-2</v>
      </c>
      <c r="E31" s="8">
        <f>C11-E11</f>
        <v>0.17500000000000004</v>
      </c>
      <c r="F31" s="10">
        <f>C11-F11</f>
        <v>0.19999999999999996</v>
      </c>
      <c r="U31" s="31">
        <v>21</v>
      </c>
      <c r="V31" s="31"/>
      <c r="W31" s="31">
        <f>X31+Y31</f>
        <v>341825.17004318791</v>
      </c>
      <c r="X31" s="31">
        <f t="shared" si="3"/>
        <v>536825.17004318791</v>
      </c>
      <c r="Y31" s="31">
        <v>-195000</v>
      </c>
    </row>
    <row r="32" spans="2:25" ht="15.75" customHeight="1">
      <c r="C32" s="3"/>
      <c r="D32" s="8">
        <f>C12-D12</f>
        <v>-0.26666666666666683</v>
      </c>
      <c r="E32" s="8">
        <f>C12-E12</f>
        <v>-0.15000000000000013</v>
      </c>
      <c r="F32" s="10">
        <f>C12-F12</f>
        <v>-6.0000000000000053E-2</v>
      </c>
      <c r="U32" s="31">
        <v>22</v>
      </c>
      <c r="V32" s="31"/>
      <c r="W32" s="31">
        <f>X32+Y32</f>
        <v>358298.17684491538</v>
      </c>
      <c r="X32" s="31">
        <f t="shared" si="3"/>
        <v>558298.17684491538</v>
      </c>
      <c r="Y32" s="31">
        <v>-200000</v>
      </c>
    </row>
    <row r="33" spans="2:25" ht="15.75" customHeight="1">
      <c r="C33" s="3"/>
      <c r="D33" s="8">
        <f>C13-D13</f>
        <v>-0.30000000000000004</v>
      </c>
      <c r="E33" s="8">
        <f>C13-E13</f>
        <v>-0.30000000000000004</v>
      </c>
      <c r="F33" s="10">
        <f>C13-F13</f>
        <v>-0.22000000000000042</v>
      </c>
      <c r="U33" s="31">
        <v>23</v>
      </c>
      <c r="V33" s="31"/>
      <c r="W33" s="31">
        <f>X33+Y33</f>
        <v>375630.103918712</v>
      </c>
      <c r="X33" s="31">
        <f t="shared" si="3"/>
        <v>580630.103918712</v>
      </c>
      <c r="Y33" s="31">
        <v>-205000</v>
      </c>
    </row>
    <row r="34" spans="2:25" ht="15.75" customHeight="1">
      <c r="C34" s="3"/>
      <c r="D34" s="8">
        <f>C14-D14</f>
        <v>6.6666666666666652E-2</v>
      </c>
      <c r="E34" s="8">
        <f>C14-E14</f>
        <v>-2.5000000000000133E-2</v>
      </c>
      <c r="F34" s="10">
        <f>C14-F14</f>
        <v>-4.0000000000000036E-2</v>
      </c>
      <c r="U34" s="31">
        <v>24</v>
      </c>
      <c r="V34" s="31"/>
      <c r="W34" s="31">
        <f>X34+Y34+W36</f>
        <v>1693855.3080754606</v>
      </c>
      <c r="X34" s="31">
        <f t="shared" si="3"/>
        <v>603855.30807546049</v>
      </c>
      <c r="Y34" s="31">
        <v>-210000</v>
      </c>
    </row>
    <row r="35" spans="2:25" ht="15.75" customHeight="1">
      <c r="C35" s="3"/>
      <c r="D35" s="8">
        <f>C15-D15</f>
        <v>0.59999999999999987</v>
      </c>
      <c r="E35" s="8">
        <f>C15-E15</f>
        <v>0.54999999999999982</v>
      </c>
      <c r="F35" s="10">
        <f>C15-F15</f>
        <v>0.48</v>
      </c>
    </row>
    <row r="36" spans="2:25" ht="15.75" customHeight="1">
      <c r="C36" s="3"/>
      <c r="D36" s="8">
        <f>C16-D16</f>
        <v>0.10000000000000009</v>
      </c>
      <c r="E36" s="8">
        <f>C16-E16</f>
        <v>0.14999999999999991</v>
      </c>
      <c r="F36" s="10">
        <f>C16-F16</f>
        <v>0.1399999999999999</v>
      </c>
      <c r="V36" s="28" t="s">
        <v>18</v>
      </c>
      <c r="W36">
        <v>1300000</v>
      </c>
      <c r="X36" t="s">
        <v>19</v>
      </c>
    </row>
    <row r="37" spans="2:25" ht="15.75" customHeight="1">
      <c r="C37" s="3"/>
      <c r="D37" s="8">
        <f>C17-D17</f>
        <v>-0.23333333333333339</v>
      </c>
      <c r="E37" s="8">
        <f>C17-E17</f>
        <v>-0.125</v>
      </c>
      <c r="F37" s="10">
        <f>C17-F17</f>
        <v>-8.0000000000000071E-2</v>
      </c>
    </row>
    <row r="38" spans="2:25" ht="15.75" customHeight="1">
      <c r="C38" s="3"/>
      <c r="D38" s="8">
        <f>C18-D18</f>
        <v>-0.6333333333333333</v>
      </c>
      <c r="E38" s="8">
        <f>C18-E18</f>
        <v>-0.57500000000000018</v>
      </c>
      <c r="F38" s="10">
        <f>C18-F18</f>
        <v>-0.5</v>
      </c>
      <c r="V38" t="s">
        <v>20</v>
      </c>
      <c r="W38">
        <v>0.36070000000000002</v>
      </c>
      <c r="X38" t="s">
        <v>11</v>
      </c>
    </row>
    <row r="39" spans="2:25" ht="15.75" customHeight="1">
      <c r="C39" s="3"/>
      <c r="D39" s="8">
        <f>C19-D19</f>
        <v>0.66666666666666674</v>
      </c>
      <c r="E39" s="8">
        <f>C19-E19</f>
        <v>0.52499999999999991</v>
      </c>
      <c r="F39" s="10">
        <f>C19-F19</f>
        <v>0.53999999999999981</v>
      </c>
      <c r="V39" t="s">
        <v>20</v>
      </c>
      <c r="W39">
        <f>(1+W38)^(1/12)-1</f>
        <v>2.5998829696481485E-2</v>
      </c>
      <c r="X39" t="s">
        <v>9</v>
      </c>
    </row>
    <row r="40" spans="2:25" ht="15.75" customHeight="1">
      <c r="C40" s="1"/>
      <c r="D40" s="8"/>
      <c r="E40" s="9"/>
      <c r="F40" s="9"/>
      <c r="V40" t="s">
        <v>21</v>
      </c>
      <c r="W40" s="29">
        <f>NPV(W39,W11:W34)+V10</f>
        <v>1839827.2519047977</v>
      </c>
    </row>
    <row r="41" spans="2:25" ht="15.75" customHeight="1">
      <c r="B41" s="36" t="s">
        <v>22</v>
      </c>
      <c r="C41" s="36"/>
      <c r="D41" s="17">
        <f>SUM(D27:D39)</f>
        <v>0.46666666666666612</v>
      </c>
      <c r="E41" s="13">
        <f>SUM(E28:E39)</f>
        <v>0.84999999999999942</v>
      </c>
      <c r="F41" s="13">
        <f>SUM(F29:F39)</f>
        <v>1.1599999999999993</v>
      </c>
    </row>
    <row r="42" spans="2:25" ht="15.75" customHeight="1">
      <c r="B42" s="36" t="s">
        <v>23</v>
      </c>
      <c r="C42" s="36"/>
      <c r="D42" s="18">
        <f>COUNT(D24:D40)</f>
        <v>13</v>
      </c>
      <c r="E42" s="14">
        <f>COUNT(E24:E40)</f>
        <v>12</v>
      </c>
      <c r="F42" s="14">
        <f>COUNT(F24:F40)</f>
        <v>11</v>
      </c>
    </row>
    <row r="43" spans="2:25" ht="15.75" customHeight="1">
      <c r="B43" s="36" t="s">
        <v>24</v>
      </c>
      <c r="C43" s="36"/>
      <c r="D43" s="17">
        <f>D41/D42</f>
        <v>3.5897435897435853E-2</v>
      </c>
      <c r="E43" s="13">
        <f>E41/E42</f>
        <v>7.083333333333329E-2</v>
      </c>
      <c r="F43" s="13">
        <f t="shared" ref="F43" si="4">F41/F42</f>
        <v>0.10545454545454538</v>
      </c>
    </row>
    <row r="44" spans="2:25" ht="15.75" customHeight="1">
      <c r="B44" s="36"/>
      <c r="C44" s="36"/>
      <c r="D44" s="18"/>
      <c r="E44" s="14"/>
      <c r="F44" s="14"/>
    </row>
    <row r="45" spans="2:25" ht="15.75" customHeight="1">
      <c r="B45" s="36" t="s">
        <v>25</v>
      </c>
      <c r="C45" s="36"/>
      <c r="D45" s="17">
        <f>SUMSQ(D24:D40)/D42</f>
        <v>0.15538461538461543</v>
      </c>
      <c r="E45" s="13">
        <f>SUMSQ(E24:E40)/E42</f>
        <v>0.12385416666666667</v>
      </c>
      <c r="F45" s="13">
        <f>SUMSQ(F24:F40)/F42</f>
        <v>0.10552727272727273</v>
      </c>
    </row>
    <row r="46" spans="2:25" ht="15.75" customHeight="1">
      <c r="B46" s="37" t="s">
        <v>26</v>
      </c>
      <c r="C46" s="37"/>
      <c r="D46" s="18" cm="1">
        <f t="array" ref="D46">SQRT(SUMSQ((D27:D39 - D43)) / (13 - 1))</f>
        <v>0.40857963965097666</v>
      </c>
      <c r="E46" s="14" cm="1">
        <f t="array" ref="E46">SQRT(SUMSQ((E27:E39 - E43)) / (13 - 1))</f>
        <v>0.34533305515325563</v>
      </c>
      <c r="F46" s="14" cm="1">
        <f t="array" ref="F46">SQRT(SUMSQ((F27:F39 - F43)) / (13 - 1))</f>
        <v>0.29730932959724754</v>
      </c>
    </row>
    <row r="47" spans="2:25" ht="15.75" customHeight="1">
      <c r="B47" s="36" t="s">
        <v>27</v>
      </c>
      <c r="C47" s="36"/>
      <c r="D47" s="17" cm="1">
        <f t="array" ref="D47">SUM(ABS(D24:D39))/D42</f>
        <v>0.33333333333333331</v>
      </c>
      <c r="E47" s="13" cm="1">
        <f t="array" ref="E47">SUM(ABS(E24:E39))/E42</f>
        <v>0.30000000000000004</v>
      </c>
      <c r="F47" s="13" cm="1">
        <f t="array" ref="F47">SUM(ABS(F24:F39))/F42</f>
        <v>0.26909090909090916</v>
      </c>
    </row>
    <row r="48" spans="2:25" ht="15.75" customHeight="1">
      <c r="B48" s="36" t="s">
        <v>28</v>
      </c>
      <c r="C48" s="36"/>
      <c r="D48" s="18" cm="1">
        <f t="array" ref="D48">SUM((ABS(D27:D39)*100)/C7:C19)/D42</f>
        <v>17.37533951543239</v>
      </c>
      <c r="E48" s="14" cm="1">
        <f t="array" ref="E48">SUM((ABS(E28:E39)*100)/D8:D19)/E42</f>
        <v>16.138901233154243</v>
      </c>
      <c r="F48" s="14" cm="1">
        <f t="array" ref="F48">SUM((ABS(F29:F39)*100)/E9:E19)/F42</f>
        <v>14.274103555113847</v>
      </c>
    </row>
    <row r="49" spans="2:9" ht="15.75" customHeight="1"/>
    <row r="50" spans="2:9" ht="15.75" customHeight="1"/>
    <row r="51" spans="2:9" ht="15.75" customHeight="1"/>
    <row r="52" spans="2:9" ht="15.75" customHeight="1">
      <c r="B52" t="s">
        <v>29</v>
      </c>
      <c r="H52" t="s">
        <v>30</v>
      </c>
    </row>
    <row r="53" spans="2:9" ht="15.75" customHeight="1">
      <c r="B53" s="24" t="s">
        <v>31</v>
      </c>
      <c r="C53" s="24" t="s">
        <v>2</v>
      </c>
      <c r="D53" s="24" t="s">
        <v>32</v>
      </c>
      <c r="E53" s="24" t="s">
        <v>33</v>
      </c>
      <c r="F53" s="24" t="s">
        <v>34</v>
      </c>
      <c r="H53" s="5" t="s">
        <v>35</v>
      </c>
      <c r="I53" s="5" t="s">
        <v>32</v>
      </c>
    </row>
    <row r="54" spans="2:9" ht="15.75" customHeight="1">
      <c r="B54" s="19">
        <v>1</v>
      </c>
      <c r="C54" s="19">
        <v>0.1</v>
      </c>
      <c r="D54" s="19">
        <v>100</v>
      </c>
      <c r="E54" s="19">
        <v>102</v>
      </c>
      <c r="F54" s="19">
        <f>D54-E54</f>
        <v>-2</v>
      </c>
      <c r="H54">
        <v>1</v>
      </c>
      <c r="I54">
        <v>600</v>
      </c>
    </row>
    <row r="55" spans="2:9" ht="15.75" customHeight="1">
      <c r="B55" s="20">
        <v>2</v>
      </c>
      <c r="C55" s="20">
        <v>0.2</v>
      </c>
      <c r="D55" s="20">
        <v>90</v>
      </c>
      <c r="E55" s="20">
        <v>92</v>
      </c>
      <c r="F55" s="20">
        <f>D55-E55</f>
        <v>-2</v>
      </c>
      <c r="H55">
        <v>2</v>
      </c>
      <c r="I55">
        <v>1550</v>
      </c>
    </row>
    <row r="56" spans="2:9" ht="15.75" customHeight="1">
      <c r="B56" s="25">
        <v>3</v>
      </c>
      <c r="C56" s="25">
        <v>0.3</v>
      </c>
      <c r="D56" s="25">
        <v>105</v>
      </c>
      <c r="E56" s="25">
        <v>103</v>
      </c>
      <c r="F56" s="19">
        <f>D56-E56</f>
        <v>2</v>
      </c>
      <c r="H56">
        <v>3</v>
      </c>
      <c r="I56">
        <v>1500</v>
      </c>
    </row>
    <row r="57" spans="2:9" ht="15.75" customHeight="1">
      <c r="B57" s="20">
        <v>4</v>
      </c>
      <c r="C57" s="20">
        <v>0.4</v>
      </c>
      <c r="D57" s="20">
        <v>95</v>
      </c>
      <c r="E57" s="20">
        <v>90</v>
      </c>
      <c r="F57" s="20">
        <f>D57-E57</f>
        <v>5</v>
      </c>
      <c r="H57">
        <v>4</v>
      </c>
      <c r="I57">
        <v>1500</v>
      </c>
    </row>
    <row r="58" spans="2:9" ht="15.75" customHeight="1">
      <c r="B58" s="19">
        <v>5</v>
      </c>
      <c r="C58" s="19">
        <v>0.5</v>
      </c>
      <c r="D58" s="19">
        <v>110</v>
      </c>
      <c r="E58" s="19">
        <v>97.5</v>
      </c>
      <c r="F58" s="19">
        <f>D58-E58</f>
        <v>12.5</v>
      </c>
      <c r="H58">
        <v>5</v>
      </c>
      <c r="I58">
        <v>2400</v>
      </c>
    </row>
    <row r="59" spans="2:9" ht="15.75" customHeight="1">
      <c r="H59">
        <v>6</v>
      </c>
      <c r="I59">
        <v>3100</v>
      </c>
    </row>
    <row r="60" spans="2:9" ht="15.75" customHeight="1">
      <c r="D60" s="38" t="s">
        <v>22</v>
      </c>
      <c r="E60" s="39"/>
      <c r="F60" s="21">
        <f>SUM(F54:F58)</f>
        <v>15.5</v>
      </c>
      <c r="H60">
        <v>7</v>
      </c>
      <c r="I60">
        <v>2600</v>
      </c>
    </row>
    <row r="61" spans="2:9" ht="15.75" customHeight="1">
      <c r="D61" s="38" t="s">
        <v>23</v>
      </c>
      <c r="E61" s="39"/>
      <c r="F61" s="22">
        <f>COUNT(F54:F58)</f>
        <v>5</v>
      </c>
      <c r="H61">
        <v>8</v>
      </c>
      <c r="I61">
        <v>2900</v>
      </c>
    </row>
    <row r="62" spans="2:9" ht="15.75" customHeight="1">
      <c r="D62" s="38" t="s">
        <v>24</v>
      </c>
      <c r="E62" s="39"/>
      <c r="F62" s="21">
        <f>F60/F61</f>
        <v>3.1</v>
      </c>
      <c r="H62">
        <v>9</v>
      </c>
      <c r="I62">
        <v>3800</v>
      </c>
    </row>
    <row r="63" spans="2:9" ht="15.75" customHeight="1">
      <c r="D63" s="23"/>
      <c r="E63" s="26"/>
      <c r="F63" s="22"/>
      <c r="H63">
        <v>10</v>
      </c>
      <c r="I63">
        <v>4500</v>
      </c>
    </row>
    <row r="64" spans="2:9" ht="15.75" customHeight="1">
      <c r="D64" s="38" t="s">
        <v>25</v>
      </c>
      <c r="E64" s="39"/>
      <c r="F64" s="21">
        <f>SUMSQ(F54:F58)/F61</f>
        <v>38.65</v>
      </c>
      <c r="H64">
        <v>11</v>
      </c>
      <c r="I64">
        <v>4000</v>
      </c>
    </row>
    <row r="65" spans="4:9" ht="15.75" customHeight="1">
      <c r="D65" s="38" t="s">
        <v>26</v>
      </c>
      <c r="E65" s="39"/>
      <c r="F65" s="22" cm="1">
        <f t="array" ref="F65">SQRT(SUMSQ((F54:F57 - F62)) / (13 - 1))</f>
        <v>2.1763884457207237</v>
      </c>
      <c r="H65">
        <v>12</v>
      </c>
      <c r="I65">
        <v>4900</v>
      </c>
    </row>
    <row r="66" spans="4:9" ht="15.75" customHeight="1">
      <c r="D66" s="38" t="s">
        <v>27</v>
      </c>
      <c r="E66" s="39"/>
      <c r="F66" s="21" cm="1">
        <f t="array" ref="F66">SUM(ABS(F54:F58))/F61</f>
        <v>4.7</v>
      </c>
    </row>
    <row r="67" spans="4:9" ht="15.75" customHeight="1">
      <c r="D67" s="38" t="s">
        <v>28</v>
      </c>
      <c r="E67" s="39"/>
      <c r="F67" s="22" cm="1">
        <f t="array" ref="F67">SUM((ABS(F54:F58)*100)/C54:C58)/F61</f>
        <v>1483.3333333333335</v>
      </c>
    </row>
    <row r="68" spans="4:9" ht="15.75" customHeight="1"/>
    <row r="69" spans="4:9" ht="15.75" customHeight="1"/>
    <row r="70" spans="4:9" ht="15.75" customHeight="1"/>
    <row r="71" spans="4:9" ht="15.75" customHeight="1"/>
    <row r="72" spans="4:9" ht="15.75" customHeight="1"/>
    <row r="73" spans="4:9" ht="15.75" customHeight="1"/>
    <row r="74" spans="4:9" ht="15.75" customHeight="1"/>
    <row r="75" spans="4:9" ht="15.75" customHeight="1"/>
    <row r="76" spans="4:9" ht="15.75" customHeight="1"/>
    <row r="77" spans="4:9" ht="15.75" customHeight="1"/>
    <row r="78" spans="4:9" ht="15.75" customHeight="1"/>
    <row r="79" spans="4:9" ht="15.75" customHeight="1"/>
    <row r="80" spans="4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">
    <mergeCell ref="D65:E65"/>
    <mergeCell ref="D66:E66"/>
    <mergeCell ref="D67:E67"/>
    <mergeCell ref="D60:E60"/>
    <mergeCell ref="D61:E61"/>
    <mergeCell ref="D62:E62"/>
    <mergeCell ref="D64:E64"/>
    <mergeCell ref="B44:C44"/>
    <mergeCell ref="B45:C45"/>
    <mergeCell ref="B47:C47"/>
    <mergeCell ref="B48:C48"/>
    <mergeCell ref="B46:C46"/>
    <mergeCell ref="D22:F22"/>
    <mergeCell ref="B2:F2"/>
    <mergeCell ref="B41:C41"/>
    <mergeCell ref="B42:C42"/>
    <mergeCell ref="B43:C43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Jhojan Aragon</dc:creator>
  <cp:keywords/>
  <dc:description/>
  <cp:lastModifiedBy/>
  <cp:revision/>
  <dcterms:created xsi:type="dcterms:W3CDTF">2025-11-05T12:55:59Z</dcterms:created>
  <dcterms:modified xsi:type="dcterms:W3CDTF">2025-12-08T23:05:21Z</dcterms:modified>
  <cp:category/>
  <cp:contentStatus/>
</cp:coreProperties>
</file>